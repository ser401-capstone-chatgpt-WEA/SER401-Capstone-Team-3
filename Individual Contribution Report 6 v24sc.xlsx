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3740" yWindow="12560" windowWidth="23260" windowHeight="13900" tabRatio="600" firstSheet="0" activeTab="0" autoFilterDateGrouping="1"/>
  </bookViews>
  <sheets>
    <sheet name="Sheet1" sheetId="1" state="visible" r:id="rId1"/>
    <sheet name="Params" sheetId="2" state="hidden" r:id="rId2"/>
  </sheets>
  <definedNames>
    <definedName name="DaysOfWeek">Params!$J$5:$J$11</definedName>
    <definedName name="DaysofWeekOffset">Params!$K$5:$K$11</definedName>
    <definedName name="endDate">Sheet1!$F$10</definedName>
    <definedName name="ICAssignNum">Params!$D$5:$D$11</definedName>
    <definedName name="startDate">Sheet1!$F$9</definedName>
    <definedName name="StatusOptions">Params!$J$16:$J$17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theme="4"/>
      <sz val="24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color theme="10"/>
      <sz val="11"/>
      <u val="single"/>
      <scheme val="minor"/>
    </font>
  </fonts>
  <fills count="8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</borders>
  <cellStyleXfs count="3">
    <xf numFmtId="0" fontId="0" fillId="0" borderId="0"/>
    <xf numFmtId="0" fontId="1" fillId="2" borderId="1"/>
    <xf numFmtId="0" fontId="4" fillId="0" borderId="0"/>
  </cellStyleXfs>
  <cellXfs count="19">
    <xf numFmtId="0" fontId="0" fillId="0" borderId="0" pivotButton="0" quotePrefix="0" xfId="0"/>
    <xf numFmtId="14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1" fillId="2" borderId="1" pivotButton="0" quotePrefix="0" xfId="1"/>
    <xf numFmtId="0" fontId="0" fillId="4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16" fontId="0" fillId="6" borderId="0" pivotButton="0" quotePrefix="0" xfId="0"/>
    <xf numFmtId="14" fontId="1" fillId="2" borderId="1" pivotButton="0" quotePrefix="0" xfId="1"/>
    <xf numFmtId="49" fontId="1" fillId="2" borderId="1" pivotButton="0" quotePrefix="0" xfId="1"/>
    <xf numFmtId="0" fontId="0" fillId="5" borderId="0" applyAlignment="1" pivotButton="0" quotePrefix="0" xfId="0">
      <alignment wrapText="1"/>
    </xf>
    <xf numFmtId="14" fontId="0" fillId="7" borderId="0" pivotButton="0" quotePrefix="0" xfId="0"/>
    <xf numFmtId="49" fontId="0" fillId="0" borderId="0" pivotButton="0" quotePrefix="0" xfId="0"/>
    <xf numFmtId="16" fontId="0" fillId="6" borderId="2" pivotButton="0" quotePrefix="0" xfId="0"/>
    <xf numFmtId="0" fontId="1" fillId="0" borderId="3" applyAlignment="1" pivotButton="0" quotePrefix="0" xfId="1">
      <alignment horizontal="center"/>
    </xf>
    <xf numFmtId="0" fontId="4" fillId="2" borderId="1" pivotButton="0" quotePrefix="0" xfId="2"/>
    <xf numFmtId="0" fontId="1" fillId="2" borderId="1" applyAlignment="1" pivotButton="0" quotePrefix="0" xfId="1">
      <alignment horizontal="center"/>
    </xf>
    <xf numFmtId="0" fontId="0" fillId="0" borderId="4" pivotButton="0" quotePrefix="0" xfId="0"/>
  </cellXfs>
  <cellStyles count="3">
    <cellStyle name="Normal" xfId="0" builtinId="0"/>
    <cellStyle name="Input" xfId="1" builtinId="20"/>
    <cellStyle name="Hyperlink" xfId="2" builtinId="8"/>
  </cellStyles>
  <dxfs count="4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er401-capstone-chatgpt-WEA/SER401-Capstone-Team-3/tree/US-163" TargetMode="External" Id="rId1" /><Relationship Type="http://schemas.openxmlformats.org/officeDocument/2006/relationships/hyperlink" Target="https://github.com/ser401-capstone-chatgpt-WEA/SER401-Capstone-Team-3/commit/1889884aa0f774036fc2ad6b4ec5672f4e07ecc4" TargetMode="External" Id="rId2" /><Relationship Type="http://schemas.openxmlformats.org/officeDocument/2006/relationships/hyperlink" Target="https://github.com/ser401-capstone-chatgpt-WEA/SER401-Capstone-Team-3/tree/US-163" TargetMode="External" Id="rId3" /><Relationship Type="http://schemas.openxmlformats.org/officeDocument/2006/relationships/hyperlink" Target="https://github.com/ser401-capstone-chatgpt-WEA/SER401-Capstone-Team-3/commit/ed5f892630830a633b0d08e52e7cf86ff9b89cd2" TargetMode="External" Id="rId4" /><Relationship Type="http://schemas.openxmlformats.org/officeDocument/2006/relationships/hyperlink" Target="https://github.com/ser401-capstone-chatgpt-WEA/SER401-Capstone-Team-3/tree/US-163" TargetMode="External" Id="rId5" /><Relationship Type="http://schemas.openxmlformats.org/officeDocument/2006/relationships/hyperlink" Target="https://github.com/ser401-capstone-chatgpt-WEA/SER401-Capstone-Team-3/commit/cf19d31215aa23887973c2194ba08f1f227997bb" TargetMode="External" Id="rId6" /><Relationship Type="http://schemas.openxmlformats.org/officeDocument/2006/relationships/hyperlink" Target="https://github.com/ser401-capstone-chatgpt-WEA/SER401-Capstone-Team-3/tree/US-164" TargetMode="External" Id="rId7" /><Relationship Type="http://schemas.openxmlformats.org/officeDocument/2006/relationships/hyperlink" Target="https://github.com/ser401-capstone-chatgpt-WEA/SER401-Capstone-Team-3/commit/c43ac30e88e6d8a2077a2b5b08e2124c2075f861" TargetMode="External" Id="rId8" /><Relationship Type="http://schemas.openxmlformats.org/officeDocument/2006/relationships/hyperlink" Target="https://github.com/ser401-capstone-chatgpt-WEA/SER401-Capstone-Team-3/tree/US-164" TargetMode="External" Id="rId9" /><Relationship Type="http://schemas.openxmlformats.org/officeDocument/2006/relationships/hyperlink" Target="https://github.com/ser401-capstone-chatgpt-WEA/SER401-Capstone-Team-3/commit/ca1e22af6bf34a9a5d729b44e12e556d1dda1823" TargetMode="External" Id="rId10" /><Relationship Type="http://schemas.openxmlformats.org/officeDocument/2006/relationships/hyperlink" Target="https://github.com/ser401-capstone-chatgpt-WEA/SER401-Capstone-Team-3/tree/US-165" TargetMode="External" Id="rId11" /><Relationship Type="http://schemas.openxmlformats.org/officeDocument/2006/relationships/hyperlink" Target="https://github.com/ser401-capstone-chatgpt-WEA/SER401-Capstone-Team-3/commit/0846d6ec99cb8d5dc9f4ff752c820b0ec772ae94" TargetMode="External" Id="rId12" /><Relationship Type="http://schemas.openxmlformats.org/officeDocument/2006/relationships/hyperlink" Target="https://github.com/ser401-capstone-chatgpt-WEA/SER401-Capstone-Team-3/tree/US-165" TargetMode="External" Id="rId13" /><Relationship Type="http://schemas.openxmlformats.org/officeDocument/2006/relationships/hyperlink" Target="https://github.com/ser401-capstone-chatgpt-WEA/SER401-Capstone-Team-3/commit/18f80f217272108969148d7d1719bdaca3d34ac9" TargetMode="External" Id="rId14" /><Relationship Type="http://schemas.openxmlformats.org/officeDocument/2006/relationships/hyperlink" Target="https://github.com/ser401-capstone-chatgpt-WEA/SER401-Capstone-Team-3/tree/US-165" TargetMode="External" Id="rId15" /><Relationship Type="http://schemas.openxmlformats.org/officeDocument/2006/relationships/hyperlink" Target="https://github.com/ser401-capstone-chatgpt-WEA/SER401-Capstone-Team-3/commit/2f2225bb12752277145ca3aa14cfc6d2cf20be48" TargetMode="External" Id="rId16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91"/>
  <sheetViews>
    <sheetView tabSelected="1" zoomScaleNormal="100" workbookViewId="0">
      <selection activeCell="F24" sqref="F24"/>
    </sheetView>
  </sheetViews>
  <sheetFormatPr baseColWidth="10" defaultColWidth="0" defaultRowHeight="15"/>
  <cols>
    <col width="21" customWidth="1" min="1" max="1"/>
    <col width="16.5" customWidth="1" min="2" max="2"/>
    <col width="17.33203125" customWidth="1" min="3" max="3"/>
    <col width="7.5" customWidth="1" min="4" max="4"/>
    <col width="29.1640625" customWidth="1" min="5" max="5"/>
    <col width="22.5" customWidth="1" min="6" max="6"/>
    <col width="11.83203125" customWidth="1" min="7" max="7"/>
    <col width="10.83203125" customWidth="1" min="8" max="8"/>
    <col hidden="1" width="7" customWidth="1" min="9" max="10"/>
    <col hidden="1" width="7" customWidth="1" min="11" max="16384"/>
  </cols>
  <sheetData>
    <row r="1" ht="31.25" customHeight="1">
      <c r="A1" s="2" t="inlineStr">
        <is>
          <t>Individual Contribution Report</t>
        </is>
      </c>
      <c r="B1" t="inlineStr">
        <is>
          <t>ab</t>
        </is>
      </c>
    </row>
    <row r="2">
      <c r="A2" t="inlineStr">
        <is>
          <t>Name:</t>
        </is>
      </c>
      <c r="B2" s="17" t="inlineStr">
        <is>
          <t>3</t>
        </is>
      </c>
      <c r="C2" s="18" t="n"/>
      <c r="D2" s="15" t="n"/>
      <c r="E2" s="7" t="inlineStr">
        <is>
          <t>Date:</t>
        </is>
      </c>
      <c r="F2" s="7" t="n"/>
      <c r="G2" s="1">
        <f>TODAY()</f>
        <v/>
      </c>
      <c r="H2" s="1" t="n"/>
    </row>
    <row r="3">
      <c r="A3" t="inlineStr">
        <is>
          <t>Team Number:</t>
        </is>
      </c>
      <c r="B3" s="17" t="inlineStr">
        <is>
          <t>PBS WARN RAG + MCP Integration</t>
        </is>
      </c>
      <c r="C3" s="18" t="n"/>
      <c r="D3" s="15" t="n"/>
    </row>
    <row r="4">
      <c r="A4" t="inlineStr">
        <is>
          <t>Project Name:</t>
        </is>
      </c>
      <c r="B4" s="17" t="inlineStr">
        <is>
          <t>AT&amp;T CHATGPT WEA EMERGENCY ALERTS</t>
        </is>
      </c>
      <c r="C4" s="18" t="n"/>
      <c r="D4" s="15" t="n"/>
    </row>
    <row r="6" ht="18" customHeight="1">
      <c r="A6" s="4" t="inlineStr">
        <is>
          <t>Project Status</t>
        </is>
      </c>
      <c r="B6" s="3" t="n"/>
      <c r="C6" s="3" t="n"/>
      <c r="D6" s="3" t="n"/>
      <c r="E6" s="3" t="n"/>
      <c r="F6" s="3" t="n"/>
      <c r="G6" s="3" t="n"/>
      <c r="H6" s="3" t="n"/>
    </row>
    <row r="7">
      <c r="B7" t="inlineStr">
        <is>
          <t>Green - RAG pipeline successfully integrated with MCP server tools and deterministic fallback logic.</t>
        </is>
      </c>
    </row>
    <row r="8">
      <c r="A8" t="inlineStr">
        <is>
          <t>Overall Status:</t>
        </is>
      </c>
      <c r="B8" t="inlineStr">
        <is>
          <t>Green - Finalized IC6 production release including performance benchmarks and architectural documentation.</t>
        </is>
      </c>
      <c r="E8" t="inlineStr">
        <is>
          <t>Assignment:</t>
        </is>
      </c>
      <c r="F8" s="9" t="inlineStr">
        <is>
          <t>IC6</t>
        </is>
      </c>
    </row>
    <row r="9">
      <c r="A9" t="inlineStr">
        <is>
          <t>Technical Status:</t>
        </is>
      </c>
      <c r="B9" t="inlineStr">
        <is>
          <t>Green - Full system verification completed for live demonstration.</t>
        </is>
      </c>
      <c r="E9" t="inlineStr">
        <is>
          <t>Start Date</t>
        </is>
      </c>
      <c r="F9" s="12">
        <f>LOOKUP(F$8, ICAssignNum, Params!E$5:E$11)</f>
        <v/>
      </c>
    </row>
    <row r="10">
      <c r="A10" t="inlineStr">
        <is>
          <t>Teamwork Status:</t>
        </is>
      </c>
      <c r="B10" t="inlineStr">
        <is>
          <t>Green</t>
        </is>
      </c>
      <c r="E10" t="inlineStr">
        <is>
          <t>End Date</t>
        </is>
      </c>
      <c r="F10" s="12">
        <f>LOOKUP(F$8, ICAssignNum, Params!F$5:F$11)</f>
        <v/>
      </c>
    </row>
    <row r="11">
      <c r="A11" t="inlineStr">
        <is>
          <t>Sponsor Engagement:</t>
        </is>
      </c>
      <c r="B11" t="inlineStr">
        <is>
          <t>Green</t>
        </is>
      </c>
    </row>
    <row r="13" ht="18" customHeight="1">
      <c r="A13" s="4" t="inlineStr">
        <is>
          <t>Contributions</t>
        </is>
      </c>
      <c r="B13" s="3" t="n"/>
      <c r="C13" s="3" t="n"/>
      <c r="D13" s="3" t="n"/>
      <c r="E13" s="3" t="n"/>
      <c r="F13" s="3" t="n"/>
      <c r="G13" s="3" t="n"/>
      <c r="H13" s="3" t="n"/>
    </row>
    <row r="14" ht="6" customHeight="1"/>
    <row r="15" ht="43.25" customHeight="1">
      <c r="A15" s="6" t="inlineStr">
        <is>
          <t>2026-04-06</t>
        </is>
      </c>
      <c r="B15" s="6" t="inlineStr">
        <is>
          <t>US-164: Implement environment variable overrides for rate limit and cache TTL</t>
        </is>
      </c>
      <c r="C15" s="6" t="n">
        <v>3</v>
      </c>
      <c r="D15" s="6" t="inlineStr">
        <is>
          <t>Coding Task?</t>
        </is>
      </c>
      <c r="E15" s="6" t="inlineStr">
        <is>
          <t>Links to Github/Repository Submissions (1 per line)</t>
        </is>
      </c>
      <c r="F15" s="6" t="inlineStr">
        <is>
          <t>Repository Submission Date</t>
        </is>
      </c>
      <c r="G15" s="6" t="inlineStr">
        <is>
          <t>% of Work Contributed to</t>
        </is>
      </c>
      <c r="H15" s="11" t="inlineStr">
        <is>
          <t>Date OK?</t>
        </is>
      </c>
    </row>
    <row r="16">
      <c r="A16" s="16" t="inlineStr">
        <is>
          <t>2026-04-08</t>
        </is>
      </c>
      <c r="B16" s="5" t="inlineStr">
        <is>
          <t>US-164: Expand abbreviation dictionary with WEA/NWS emergency terms</t>
        </is>
      </c>
      <c r="C16" s="5" t="n">
        <v>2.5</v>
      </c>
      <c r="D16" s="5" t="b">
        <v>1</v>
      </c>
      <c r="E16" s="5" t="inlineStr">
        <is>
          <t>https://github.com/ser401-capstone-chatgpt-WEA/SER401-Capstone-Team-3/commit/1889884aa0f774036fc2ad6b4ec5672f4e07ecc4</t>
        </is>
      </c>
      <c r="F16" s="9" t="n">
        <v>46111</v>
      </c>
      <c r="G16" s="10" t="n">
        <v>100</v>
      </c>
      <c r="H16" s="5">
        <f>IF(OR(A16&lt;&gt;"", B16&lt;&gt;"", C16&lt;&gt;"", E16&lt;&gt;"", F16&lt;&gt;"", G16&lt;&gt;""), IF(AND(F16&gt;= startDate, F16&lt;=endDate), "ok", "bad"), "")</f>
        <v/>
      </c>
    </row>
    <row r="17">
      <c r="A17" s="16" t="inlineStr">
        <is>
          <t>2026-04-10</t>
        </is>
      </c>
      <c r="B17" s="5" t="inlineStr">
        <is>
          <t>US-174: Implement request logging and telemetry tracking in MCP server</t>
        </is>
      </c>
      <c r="C17" s="5" t="n">
        <v>4</v>
      </c>
      <c r="D17" s="5" t="b">
        <v>1</v>
      </c>
      <c r="E17" s="5" t="inlineStr">
        <is>
          <t>https://github.com/ser401-capstone-chatgpt-WEA/SER401-Capstone-Team-3/commit/ed5f892630830a633b0d08e52e7cf86ff9b89cd2</t>
        </is>
      </c>
      <c r="F17" s="9" t="n">
        <v>46112</v>
      </c>
      <c r="G17" s="10" t="n">
        <v>100</v>
      </c>
      <c r="H17" s="5">
        <f>IF(OR(A17&lt;&gt;"", B17&lt;&gt;"", C17&lt;&gt;"", E17&lt;&gt;"", F17&lt;&gt;"", G17&lt;&gt;""), IF(AND(F17&gt;= startDate, F17&lt;=endDate), "ok", "bad"), "")</f>
        <v/>
      </c>
    </row>
    <row r="18">
      <c r="A18" s="16" t="inlineStr">
        <is>
          <t>2026-04-12</t>
        </is>
      </c>
      <c r="B18" s="5" t="inlineStr">
        <is>
          <t>US-174: Refactor MCP tool handlers for improved modularity and response parsing</t>
        </is>
      </c>
      <c r="C18" s="5" t="n">
        <v>3.5</v>
      </c>
      <c r="D18" s="5" t="b">
        <v>1</v>
      </c>
      <c r="E18" s="5" t="inlineStr">
        <is>
          <t>https://github.com/ser401-capstone-chatgpt-WEA/SER401-Capstone-Team-3/commit/cf19d31215aa23887973c2194ba08f1f227997bb</t>
        </is>
      </c>
      <c r="F18" s="9" t="n">
        <v>46114</v>
      </c>
      <c r="G18" s="10" t="n">
        <v>100</v>
      </c>
      <c r="H18" s="5">
        <f>IF(OR(A18&lt;&gt;"", B18&lt;&gt;"", C18&lt;&gt;"", E18&lt;&gt;"", F18&lt;&gt;"", G18&lt;&gt;""), IF(AND(F18&gt;= startDate, F18&lt;=endDate), "ok", "bad"), "")</f>
        <v/>
      </c>
    </row>
    <row r="19">
      <c r="A19" s="16" t="inlineStr">
        <is>
          <t>2026-04-15</t>
        </is>
      </c>
      <c r="B19" s="5" t="inlineStr">
        <is>
          <t>US-183: Update RAG architecture diagrams and technical deployment guide</t>
        </is>
      </c>
      <c r="C19" s="5" t="n">
        <v>3</v>
      </c>
      <c r="D19" s="5" t="b">
        <v>1</v>
      </c>
      <c r="E19" s="5" t="inlineStr">
        <is>
          <t>https://github.com/ser401-capstone-chatgpt-WEA/SER401-Capstone-Team-3/commit/c43ac30e88e6d8a2077a2b5b08e2124c2075f861</t>
        </is>
      </c>
      <c r="F19" s="9" t="n">
        <v>46116</v>
      </c>
      <c r="G19" s="10" t="n">
        <v>100</v>
      </c>
      <c r="H19" s="5">
        <f>IF(OR(A19&lt;&gt;"", B19&lt;&gt;"", C19&lt;&gt;"", E19&lt;&gt;"", F19&lt;&gt;"", G19&lt;&gt;""), IF(AND(F19&gt;= startDate, F19&lt;=endDate), "ok", "bad"), "")</f>
        <v/>
      </c>
    </row>
    <row r="20">
      <c r="A20" s="16" t="inlineStr">
        <is>
          <t>2026-04-18</t>
        </is>
      </c>
      <c r="B20" s="5" t="inlineStr">
        <is>
          <t>US-183: Resolve race conditions in telemetry log rotation and dashboard sync</t>
        </is>
      </c>
      <c r="C20" s="5" t="n">
        <v>4</v>
      </c>
      <c r="D20" s="5" t="b">
        <v>1</v>
      </c>
      <c r="E20" s="5" t="inlineStr">
        <is>
          <t>https://github.com/ser401-capstone-chatgpt-WEA/SER401-Capstone-Team-3/commit/ca1e22af6bf34a9a5d729b44e12e556d1dda1823</t>
        </is>
      </c>
      <c r="F20" s="9" t="n">
        <v>46118</v>
      </c>
      <c r="G20" s="10" t="n">
        <v>100</v>
      </c>
      <c r="H20" s="5">
        <f>IF(OR(A20&lt;&gt;"", B20&lt;&gt;"", C20&lt;&gt;"", E20&lt;&gt;"", F20&lt;&gt;"", G20&lt;&gt;""), IF(AND(F20&gt;= startDate, F20&lt;=endDate), "ok", "bad"), "")</f>
        <v/>
      </c>
    </row>
    <row r="21">
      <c r="A21" s="16" t="inlineStr">
        <is>
          <t>2026-04-21</t>
        </is>
      </c>
      <c r="B21" s="5" t="inlineStr">
        <is>
          <t>US-183: Benchmarking semantic retrieval performance and vector DB latency</t>
        </is>
      </c>
      <c r="C21" s="5" t="n">
        <v>3.5</v>
      </c>
      <c r="D21" s="5" t="b">
        <v>1</v>
      </c>
      <c r="E21" s="5" t="inlineStr">
        <is>
          <t>https://github.com/ser401-capstone-chatgpt-WEA/SER401-Capstone-Team-3/commit/0846d6ec99cb8d5dc9f4ff752c820b0ec772ae94</t>
        </is>
      </c>
      <c r="F21" s="9" t="n">
        <v>46120</v>
      </c>
      <c r="G21" s="10" t="n">
        <v>100</v>
      </c>
      <c r="H21" s="5">
        <f>IF(OR(A21&lt;&gt;"", B21&lt;&gt;"", C21&lt;&gt;"", E21&lt;&gt;"", F21&lt;&gt;"", G21&lt;&gt;""), IF(AND(F21&gt;= startDate, F21&lt;=endDate), "ok", "bad"), "")</f>
        <v/>
      </c>
    </row>
    <row r="22">
      <c r="A22" s="16" t="inlineStr">
        <is>
          <t>2026-04-24</t>
        </is>
      </c>
      <c r="B22" s="5" t="inlineStr">
        <is>
          <t>Finalize US-165: Tune vector similarity thresholds for emergency classification</t>
        </is>
      </c>
      <c r="C22" s="5" t="n">
        <v>3</v>
      </c>
      <c r="D22" s="5" t="b">
        <v>1</v>
      </c>
      <c r="E22" s="5" t="inlineStr">
        <is>
          <t>https://github.com/ser401-capstone-chatgpt-WEA/SER401-Capstone-Team-3/commit/18f80f217272108969148d7d1719bdaca3d34ac9</t>
        </is>
      </c>
      <c r="F22" s="9" t="n">
        <v>46122</v>
      </c>
      <c r="G22" s="10" t="n">
        <v>100</v>
      </c>
      <c r="H22" s="5">
        <f>IF(OR(A22&lt;&gt;"", B22&lt;&gt;"", C22&lt;&gt;"", E22&lt;&gt;"", F22&lt;&gt;"", G22&lt;&gt;""), IF(AND(F22&gt;= startDate, F22&lt;=endDate), "ok", "bad"), "")</f>
        <v/>
      </c>
    </row>
    <row r="23">
      <c r="A23" s="16" t="inlineStr">
        <is>
          <t>2026-04-25</t>
        </is>
      </c>
      <c r="B23" s="5" t="inlineStr">
        <is>
          <t>Merge: Final IC6 production release, branch cleanup, and documentation sync</t>
        </is>
      </c>
      <c r="C23" s="5" t="n">
        <v>3.5</v>
      </c>
      <c r="D23" s="5" t="b">
        <v>1</v>
      </c>
      <c r="E23" s="5" t="inlineStr">
        <is>
          <t>https://github.com/ser401-capstone-chatgpt-WEA/SER401-Capstone-Team-3/commit/2f2225bb12752277145ca3aa14cfc6d2cf20be48</t>
        </is>
      </c>
      <c r="F23" s="9" t="n">
        <v>46123</v>
      </c>
      <c r="G23" s="10" t="n">
        <v>100</v>
      </c>
      <c r="H23" s="5">
        <f>IF(OR(A23&lt;&gt;"", B23&lt;&gt;"", C23&lt;&gt;"", E23&lt;&gt;"", F23&lt;&gt;"", G23&lt;&gt;""), IF(AND(F23&gt;= startDate, F23&lt;=endDate), "ok", "bad"), "")</f>
        <v/>
      </c>
    </row>
    <row r="24">
      <c r="A24" s="5" t="n"/>
      <c r="B24" s="5" t="n"/>
      <c r="C24" s="5" t="n"/>
      <c r="D24" s="5" t="n"/>
      <c r="E24" s="5" t="n"/>
      <c r="F24" s="9" t="n"/>
      <c r="G24" s="10" t="n"/>
      <c r="H24" s="5" t="n"/>
    </row>
    <row r="25">
      <c r="A25" s="5" t="n"/>
      <c r="B25" s="5" t="n"/>
      <c r="C25" s="5" t="n">
        <v>30</v>
      </c>
      <c r="D25" s="5" t="n"/>
      <c r="E25" s="5" t="n"/>
      <c r="F25" s="9" t="n"/>
      <c r="G25" s="10" t="n"/>
      <c r="H25" s="5" t="n"/>
    </row>
    <row r="26">
      <c r="A26" s="5" t="n"/>
      <c r="B26" s="5" t="n"/>
      <c r="C26" s="5" t="n"/>
      <c r="D26" s="5" t="n"/>
      <c r="E26" s="5" t="n"/>
      <c r="F26" s="9" t="n"/>
      <c r="G26" s="10" t="n"/>
      <c r="H26" s="5" t="n"/>
    </row>
    <row r="27">
      <c r="A27" s="5" t="n"/>
      <c r="B27" s="5" t="n"/>
      <c r="C27" s="5" t="n"/>
      <c r="D27" s="5" t="n"/>
      <c r="E27" s="5" t="n"/>
      <c r="F27" s="9" t="n"/>
      <c r="G27" s="10" t="n"/>
      <c r="H27" s="5" t="n"/>
    </row>
    <row r="28">
      <c r="A28" s="5" t="n"/>
      <c r="B28" s="5" t="n"/>
      <c r="C28" s="5" t="n"/>
      <c r="D28" s="5" t="n"/>
      <c r="E28" s="5" t="n"/>
      <c r="F28" s="9" t="n"/>
      <c r="G28" s="10" t="n"/>
      <c r="H28" s="5" t="n"/>
    </row>
    <row r="29">
      <c r="A29" s="5" t="n"/>
      <c r="B29" s="5" t="n"/>
      <c r="C29" s="5" t="n"/>
      <c r="D29" s="5" t="n"/>
      <c r="E29" s="5" t="n"/>
      <c r="F29" s="9" t="n"/>
      <c r="G29" s="10" t="n"/>
      <c r="H29" s="5" t="n"/>
    </row>
    <row r="30">
      <c r="A30" s="5" t="n"/>
      <c r="B30" s="5" t="n"/>
      <c r="C30" s="5" t="n"/>
      <c r="D30" s="5" t="n"/>
      <c r="E30" s="5" t="n"/>
      <c r="F30" s="9" t="n"/>
      <c r="G30" s="10" t="n"/>
      <c r="H30" s="5" t="n"/>
    </row>
    <row r="31">
      <c r="A31" s="5" t="n"/>
      <c r="B31" s="5" t="n"/>
      <c r="C31" s="5" t="n"/>
      <c r="D31" s="5" t="n"/>
      <c r="E31" s="5" t="n"/>
      <c r="F31" s="9" t="n"/>
      <c r="G31" s="10" t="n"/>
      <c r="H31" s="5" t="n"/>
    </row>
    <row r="32">
      <c r="A32" s="5" t="n"/>
      <c r="B32" s="5" t="n"/>
      <c r="C32" s="5" t="n"/>
      <c r="D32" s="5" t="n"/>
      <c r="E32" s="5" t="n"/>
      <c r="F32" s="9" t="n"/>
      <c r="G32" s="10" t="n"/>
      <c r="H32" s="5" t="n"/>
    </row>
    <row r="33">
      <c r="A33" s="5" t="n"/>
      <c r="B33" s="5" t="n"/>
      <c r="C33" s="5" t="n"/>
      <c r="D33" s="5" t="n"/>
      <c r="E33" s="5" t="n"/>
      <c r="F33" s="9" t="n"/>
      <c r="G33" s="10" t="n"/>
      <c r="H33" s="5" t="n"/>
    </row>
    <row r="34">
      <c r="A34" s="5" t="n"/>
      <c r="B34" s="5" t="n"/>
      <c r="C34" s="5" t="n"/>
      <c r="D34" s="5" t="n"/>
      <c r="E34" s="5" t="n"/>
      <c r="F34" s="9" t="n"/>
      <c r="G34" s="10" t="n"/>
      <c r="H34" s="5" t="n"/>
    </row>
    <row r="35">
      <c r="A35" s="5" t="n"/>
      <c r="B35" s="5" t="n"/>
      <c r="C35" s="5" t="n"/>
      <c r="D35" s="5" t="n"/>
      <c r="E35" s="5" t="n"/>
      <c r="F35" s="9" t="n"/>
      <c r="G35" s="10" t="n"/>
      <c r="H35" s="5" t="n"/>
    </row>
    <row r="36">
      <c r="A36" s="5" t="n"/>
      <c r="B36" s="5" t="n"/>
      <c r="C36" s="5" t="n"/>
      <c r="D36" s="5" t="n"/>
      <c r="E36" s="5" t="n"/>
      <c r="F36" s="9" t="n"/>
      <c r="G36" s="10" t="n"/>
      <c r="H36" s="5" t="n"/>
    </row>
    <row r="37">
      <c r="A37" s="5" t="n"/>
      <c r="B37" s="5" t="n"/>
      <c r="C37" s="5" t="n"/>
      <c r="D37" s="5" t="n"/>
      <c r="E37" s="5" t="n"/>
      <c r="F37" s="9" t="n"/>
      <c r="G37" s="10" t="n"/>
      <c r="H37" s="5" t="n"/>
    </row>
    <row r="38">
      <c r="A38" s="5" t="n"/>
      <c r="B38" s="5" t="n"/>
      <c r="C38" s="5" t="n"/>
      <c r="D38" s="5" t="n"/>
      <c r="E38" s="5" t="n"/>
      <c r="F38" s="9" t="n"/>
      <c r="G38" s="10" t="n"/>
      <c r="H38" s="5" t="n"/>
    </row>
    <row r="39">
      <c r="A39" s="5" t="n"/>
      <c r="B39" s="5" t="n"/>
      <c r="C39" s="5" t="n"/>
      <c r="D39" s="5" t="n"/>
      <c r="E39" s="5" t="n"/>
      <c r="F39" s="9" t="n"/>
      <c r="G39" s="10" t="n"/>
      <c r="H39" s="5" t="n"/>
    </row>
    <row r="40">
      <c r="A40" s="5" t="n"/>
      <c r="B40" s="5" t="n"/>
      <c r="C40" s="5" t="n"/>
      <c r="D40" s="5" t="n"/>
      <c r="E40" s="5" t="n"/>
      <c r="F40" s="9" t="n"/>
      <c r="G40" s="10" t="n"/>
      <c r="H40" s="5" t="n"/>
    </row>
    <row r="41">
      <c r="A41" s="5" t="n"/>
      <c r="B41" s="5" t="n"/>
      <c r="C41" s="5" t="n"/>
      <c r="D41" s="5" t="n"/>
      <c r="E41" s="5" t="n"/>
      <c r="F41" s="9" t="n"/>
      <c r="G41" s="10" t="n"/>
      <c r="H41" s="5" t="n"/>
    </row>
    <row r="42">
      <c r="A42" s="5" t="n"/>
      <c r="B42" s="5" t="n"/>
      <c r="C42" s="5" t="n"/>
      <c r="D42" s="5" t="n"/>
      <c r="E42" s="5" t="n"/>
      <c r="F42" s="9" t="n"/>
      <c r="G42" s="10" t="n"/>
      <c r="H42" s="5" t="n"/>
    </row>
    <row r="43">
      <c r="A43" s="5" t="n"/>
      <c r="B43" s="5" t="n"/>
      <c r="C43" s="5" t="n"/>
      <c r="D43" s="5" t="n"/>
      <c r="E43" s="5" t="n"/>
      <c r="F43" s="9" t="n"/>
      <c r="G43" s="10" t="n"/>
      <c r="H43" s="5" t="n"/>
    </row>
    <row r="44">
      <c r="A44" s="5" t="n"/>
      <c r="B44" s="5" t="n"/>
      <c r="C44" s="5" t="n"/>
      <c r="D44" s="5" t="n"/>
      <c r="E44" s="5" t="n"/>
      <c r="F44" s="9" t="n"/>
      <c r="G44" s="10" t="n"/>
      <c r="H44" s="5" t="n"/>
    </row>
    <row r="45">
      <c r="A45" s="5" t="n"/>
      <c r="B45" s="5" t="n"/>
      <c r="C45" s="5" t="n"/>
      <c r="D45" s="5" t="n"/>
      <c r="E45" s="5" t="n"/>
      <c r="F45" s="9" t="n"/>
      <c r="G45" s="10" t="n"/>
      <c r="H45" s="5" t="n"/>
    </row>
    <row r="46">
      <c r="A46" s="5" t="n"/>
      <c r="B46" s="5" t="n"/>
      <c r="C46" s="5" t="n"/>
      <c r="D46" s="5" t="n"/>
      <c r="E46" s="5" t="n"/>
      <c r="F46" s="9" t="n"/>
      <c r="G46" s="10" t="n"/>
      <c r="H46" s="5" t="n"/>
    </row>
    <row r="47">
      <c r="A47" s="5" t="n"/>
      <c r="B47" s="5" t="n"/>
      <c r="C47" s="5" t="n"/>
      <c r="D47" s="5" t="n"/>
      <c r="E47" s="5" t="n"/>
      <c r="F47" s="9" t="n"/>
      <c r="G47" s="10" t="n"/>
      <c r="H47" s="5" t="n"/>
    </row>
    <row r="48">
      <c r="A48" s="5" t="n"/>
      <c r="B48" s="5" t="n"/>
      <c r="C48" s="5" t="n"/>
      <c r="D48" s="5" t="n"/>
      <c r="E48" s="5" t="n"/>
      <c r="F48" s="9" t="n"/>
      <c r="G48" s="10" t="n"/>
      <c r="H48" s="5" t="n"/>
    </row>
    <row r="49">
      <c r="A49" s="5" t="n"/>
      <c r="B49" s="5" t="n"/>
      <c r="C49" s="5" t="n"/>
      <c r="D49" s="5" t="n"/>
      <c r="E49" s="5" t="n"/>
      <c r="F49" s="9" t="n"/>
      <c r="G49" s="10" t="n"/>
      <c r="H49" s="5" t="n"/>
    </row>
    <row r="50">
      <c r="A50" s="5" t="n"/>
      <c r="B50" s="5" t="n"/>
      <c r="C50" s="5" t="n"/>
      <c r="D50" s="5" t="n"/>
      <c r="E50" s="5" t="n"/>
      <c r="F50" s="9" t="n"/>
      <c r="G50" s="10" t="n"/>
      <c r="H50" s="5" t="n"/>
    </row>
    <row r="51">
      <c r="A51" s="5" t="n"/>
      <c r="B51" s="5" t="n"/>
      <c r="C51" s="5" t="n"/>
      <c r="D51" s="5" t="n"/>
      <c r="E51" s="5" t="n"/>
      <c r="F51" s="9" t="n"/>
      <c r="G51" s="10" t="n"/>
      <c r="H51" s="5">
        <f>IF(OR(A51&lt;&gt;"", B51&lt;&gt;"", C51&lt;&gt;"", E51&lt;&gt;"", F51&lt;&gt;"", G51&lt;&gt;""), IF(AND(F51&gt;= startDate, F51&lt;=endDate), "ok", "bad"), "")</f>
        <v/>
      </c>
    </row>
    <row r="52">
      <c r="A52" s="5" t="n"/>
      <c r="B52" s="5" t="n"/>
      <c r="C52" s="5" t="n"/>
      <c r="D52" s="5" t="n"/>
      <c r="E52" s="5" t="n"/>
      <c r="F52" s="9" t="n"/>
      <c r="G52" s="10" t="n"/>
      <c r="H52" s="5">
        <f>IF(OR(A52&lt;&gt;"", B52&lt;&gt;"", C52&lt;&gt;"", E52&lt;&gt;"", F52&lt;&gt;"", G52&lt;&gt;""), IF(AND(F52&gt;= startDate, F52&lt;=endDate), "ok", "bad"), "")</f>
        <v/>
      </c>
    </row>
    <row r="53">
      <c r="A53" s="5" t="n"/>
      <c r="B53" s="5" t="n"/>
      <c r="C53" s="5" t="n"/>
      <c r="D53" s="5" t="n"/>
      <c r="E53" s="5" t="n"/>
      <c r="F53" s="9" t="n"/>
      <c r="G53" s="10" t="n"/>
      <c r="H53" s="5">
        <f>IF(OR(A53&lt;&gt;"", B53&lt;&gt;"", C53&lt;&gt;"", E53&lt;&gt;"", F53&lt;&gt;"", G53&lt;&gt;""), IF(AND(F53&gt;= startDate, F53&lt;=endDate), "ok", "bad"), "")</f>
        <v/>
      </c>
    </row>
    <row r="54">
      <c r="A54" s="5" t="n"/>
      <c r="B54" s="5" t="n"/>
      <c r="C54" s="5" t="n"/>
      <c r="D54" s="5" t="n"/>
      <c r="E54" s="5" t="n"/>
      <c r="F54" s="9" t="n"/>
      <c r="G54" s="10" t="n"/>
      <c r="H54" s="5">
        <f>IF(OR(A54&lt;&gt;"", B54&lt;&gt;"", C54&lt;&gt;"", E54&lt;&gt;"", F54&lt;&gt;"", G54&lt;&gt;""), IF(AND(F54&gt;= startDate, F54&lt;=endDate), "ok", "bad"), "")</f>
        <v/>
      </c>
    </row>
    <row r="55">
      <c r="A55" s="5" t="n"/>
      <c r="B55" s="5" t="n"/>
      <c r="C55" s="5" t="n"/>
      <c r="D55" s="5" t="n"/>
      <c r="E55" s="5" t="n"/>
      <c r="F55" s="9" t="n"/>
      <c r="G55" s="10" t="n"/>
      <c r="H55" s="5">
        <f>IF(OR(A55&lt;&gt;"", B55&lt;&gt;"", C55&lt;&gt;"", E55&lt;&gt;"", F55&lt;&gt;"", G55&lt;&gt;""), IF(AND(F55&gt;= startDate, F55&lt;=endDate), "ok", "bad"), "")</f>
        <v/>
      </c>
    </row>
    <row r="56">
      <c r="A56" s="5" t="n"/>
      <c r="B56" s="5" t="n"/>
      <c r="C56" s="5" t="n"/>
      <c r="D56" s="5" t="n"/>
      <c r="E56" s="5" t="n"/>
      <c r="F56" s="9" t="n"/>
      <c r="G56" s="10" t="n"/>
      <c r="H56" s="5">
        <f>IF(OR(A56&lt;&gt;"", B56&lt;&gt;"", C56&lt;&gt;"", E56&lt;&gt;"", F56&lt;&gt;"", G56&lt;&gt;""), IF(AND(F56&gt;= startDate, F56&lt;=endDate), "ok", "bad"), "")</f>
        <v/>
      </c>
    </row>
    <row r="57">
      <c r="A57" s="5" t="n"/>
      <c r="B57" s="5" t="n"/>
      <c r="C57" s="5" t="n"/>
      <c r="D57" s="5" t="n"/>
      <c r="E57" s="5" t="n"/>
      <c r="F57" s="9" t="n"/>
      <c r="G57" s="10" t="n"/>
      <c r="H57" s="5">
        <f>IF(OR(A57&lt;&gt;"", B57&lt;&gt;"", C57&lt;&gt;"", E57&lt;&gt;"", F57&lt;&gt;"", G57&lt;&gt;""), IF(AND(F57&gt;= startDate, F57&lt;=endDate), "ok", "bad"), "")</f>
        <v/>
      </c>
    </row>
    <row r="58">
      <c r="A58" s="5" t="n"/>
      <c r="B58" s="5" t="n"/>
      <c r="C58" s="5" t="n"/>
      <c r="D58" s="5" t="n"/>
      <c r="E58" s="5" t="n"/>
      <c r="F58" s="9" t="n"/>
      <c r="G58" s="10" t="n"/>
      <c r="H58" s="5">
        <f>IF(OR(A58&lt;&gt;"", B58&lt;&gt;"", C58&lt;&gt;"", E58&lt;&gt;"", F58&lt;&gt;"", G58&lt;&gt;""), IF(AND(F58&gt;= startDate, F58&lt;=endDate), "ok", "bad"), "")</f>
        <v/>
      </c>
    </row>
    <row r="59">
      <c r="A59" s="5" t="n"/>
      <c r="B59" s="5" t="n"/>
      <c r="C59" s="5" t="n"/>
      <c r="D59" s="5" t="n"/>
      <c r="E59" s="5" t="n"/>
      <c r="F59" s="9" t="n"/>
      <c r="G59" s="10" t="n"/>
      <c r="H59" s="5">
        <f>IF(OR(A59&lt;&gt;"", B59&lt;&gt;"", C59&lt;&gt;"", E59&lt;&gt;"", F59&lt;&gt;"", G59&lt;&gt;""), IF(AND(F59&gt;= startDate, F59&lt;=endDate), "ok", "bad"), "")</f>
        <v/>
      </c>
    </row>
    <row r="60">
      <c r="A60" s="5" t="n"/>
      <c r="B60" s="5" t="n"/>
      <c r="C60" s="5" t="n"/>
      <c r="D60" s="5" t="n"/>
      <c r="E60" s="5" t="n"/>
      <c r="F60" s="9" t="n"/>
      <c r="G60" s="10" t="n"/>
      <c r="H60" s="5">
        <f>IF(OR(A60&lt;&gt;"", B60&lt;&gt;"", C60&lt;&gt;"", E60&lt;&gt;"", F60&lt;&gt;"", G60&lt;&gt;""), IF(AND(F60&gt;= startDate, F60&lt;=endDate), "ok", "bad"), "")</f>
        <v/>
      </c>
    </row>
    <row r="61">
      <c r="A61" s="5" t="n"/>
      <c r="B61" s="5" t="n"/>
      <c r="C61" s="5" t="n"/>
      <c r="D61" s="5" t="n"/>
      <c r="E61" s="5" t="n"/>
      <c r="F61" s="9" t="n"/>
      <c r="G61" s="10" t="n"/>
      <c r="H61" s="5">
        <f>IF(OR(A61&lt;&gt;"", B61&lt;&gt;"", C61&lt;&gt;"", E61&lt;&gt;"", F61&lt;&gt;"", G61&lt;&gt;""), IF(AND(F61&gt;= startDate, F61&lt;=endDate), "ok", "bad"), "")</f>
        <v/>
      </c>
    </row>
    <row r="62">
      <c r="A62" s="5" t="n"/>
      <c r="B62" s="5" t="n"/>
      <c r="C62" s="5" t="n"/>
      <c r="D62" s="5" t="n"/>
      <c r="E62" s="5" t="n"/>
      <c r="F62" s="9" t="n"/>
      <c r="G62" s="10" t="n"/>
      <c r="H62" s="5">
        <f>IF(OR(A62&lt;&gt;"", B62&lt;&gt;"", C62&lt;&gt;"", E62&lt;&gt;"", F62&lt;&gt;"", G62&lt;&gt;""), IF(AND(F62&gt;= startDate, F62&lt;=endDate), "ok", "bad"), "")</f>
        <v/>
      </c>
    </row>
    <row r="63">
      <c r="A63" s="5" t="n"/>
      <c r="B63" s="5" t="n"/>
      <c r="C63" s="5" t="n"/>
      <c r="D63" s="5" t="n"/>
      <c r="E63" s="5" t="n"/>
      <c r="F63" s="9" t="n"/>
      <c r="G63" s="10" t="n"/>
      <c r="H63" s="5">
        <f>IF(OR(A63&lt;&gt;"", B63&lt;&gt;"", C63&lt;&gt;"", E63&lt;&gt;"", F63&lt;&gt;"", G63&lt;&gt;""), IF(AND(F63&gt;= startDate, F63&lt;=endDate), "ok", "bad"), "")</f>
        <v/>
      </c>
    </row>
    <row r="64">
      <c r="A64" s="5" t="n"/>
      <c r="B64" s="5" t="n"/>
      <c r="C64" s="5" t="n"/>
      <c r="D64" s="5" t="n"/>
      <c r="E64" s="5" t="n"/>
      <c r="F64" s="9" t="n"/>
      <c r="G64" s="10" t="n"/>
      <c r="H64" s="5">
        <f>IF(OR(A64&lt;&gt;"", B64&lt;&gt;"", C64&lt;&gt;"", E64&lt;&gt;"", F64&lt;&gt;"", G64&lt;&gt;""), IF(AND(F64&gt;= startDate, F64&lt;=endDate), "ok", "bad"), "")</f>
        <v/>
      </c>
    </row>
    <row r="65">
      <c r="A65" s="5" t="n"/>
      <c r="B65" s="5" t="n"/>
      <c r="C65" s="5" t="n"/>
      <c r="D65" s="5" t="n"/>
      <c r="E65" s="5" t="n"/>
      <c r="F65" s="9" t="n"/>
      <c r="G65" s="10" t="n"/>
      <c r="H65" s="5">
        <f>IF(OR(A65&lt;&gt;"", B65&lt;&gt;"", C65&lt;&gt;"", E65&lt;&gt;"", F65&lt;&gt;"", G65&lt;&gt;""), IF(AND(F65&gt;= startDate, F65&lt;=endDate), "ok", "bad"), "")</f>
        <v/>
      </c>
    </row>
    <row r="66">
      <c r="A66" s="5" t="n"/>
      <c r="B66" s="5" t="n"/>
      <c r="C66" s="5" t="n"/>
      <c r="D66" s="5" t="n"/>
      <c r="E66" s="5" t="n"/>
      <c r="F66" s="9" t="n"/>
      <c r="G66" s="10" t="n"/>
      <c r="H66" s="5">
        <f>IF(OR(A66&lt;&gt;"", B66&lt;&gt;"", C66&lt;&gt;"", E66&lt;&gt;"", F66&lt;&gt;"", G66&lt;&gt;""), IF(AND(F66&gt;= startDate, F66&lt;=endDate), "ok", "bad"), "")</f>
        <v/>
      </c>
    </row>
    <row r="67">
      <c r="A67" s="5" t="n"/>
      <c r="B67" s="5" t="n"/>
      <c r="C67" s="5" t="n"/>
      <c r="D67" s="5" t="n"/>
      <c r="E67" s="5" t="n"/>
      <c r="F67" s="9" t="n"/>
      <c r="G67" s="10" t="n"/>
      <c r="H67" s="5">
        <f>IF(OR(A67&lt;&gt;"", B67&lt;&gt;"", C67&lt;&gt;"", E67&lt;&gt;"", F67&lt;&gt;"", G67&lt;&gt;""), IF(AND(F67&gt;= startDate, F67&lt;=endDate), "ok", "bad"), "")</f>
        <v/>
      </c>
    </row>
    <row r="68">
      <c r="A68" s="5" t="n"/>
      <c r="B68" s="5" t="n"/>
      <c r="C68" s="5" t="n"/>
      <c r="D68" s="5" t="n"/>
      <c r="E68" s="5" t="n"/>
      <c r="F68" s="9" t="n"/>
      <c r="G68" s="10" t="n"/>
      <c r="H68" s="5">
        <f>IF(OR(A68&lt;&gt;"", B68&lt;&gt;"", C68&lt;&gt;"", E68&lt;&gt;"", F68&lt;&gt;"", G68&lt;&gt;""), IF(AND(F68&gt;= startDate, F68&lt;=endDate), "ok", "bad"), "")</f>
        <v/>
      </c>
    </row>
    <row r="69">
      <c r="A69" s="5" t="n"/>
      <c r="B69" s="5" t="n"/>
      <c r="C69" s="5" t="n"/>
      <c r="D69" s="5" t="n"/>
      <c r="E69" s="5" t="n"/>
      <c r="F69" s="9" t="n"/>
      <c r="G69" s="10" t="n"/>
      <c r="H69" s="5">
        <f>IF(OR(A69&lt;&gt;"", B69&lt;&gt;"", C69&lt;&gt;"", E69&lt;&gt;"", F69&lt;&gt;"", G69&lt;&gt;""), IF(AND(F69&gt;= startDate, F69&lt;=endDate), "ok", "bad"), "")</f>
        <v/>
      </c>
    </row>
    <row r="70">
      <c r="A70" s="5" t="n"/>
      <c r="B70" s="5" t="n"/>
      <c r="C70" s="5" t="n"/>
      <c r="D70" s="5" t="n"/>
      <c r="E70" s="5" t="n"/>
      <c r="F70" s="9" t="n"/>
      <c r="G70" s="10" t="n"/>
      <c r="H70" s="5">
        <f>IF(OR(A70&lt;&gt;"", B70&lt;&gt;"", C70&lt;&gt;"", E70&lt;&gt;"", F70&lt;&gt;"", G70&lt;&gt;""), IF(AND(F70&gt;= startDate, F70&lt;=endDate), "ok", "bad"), "")</f>
        <v/>
      </c>
    </row>
    <row r="71">
      <c r="A71" s="5" t="n"/>
      <c r="B71" s="5" t="n"/>
      <c r="C71" s="5" t="n"/>
      <c r="D71" s="5" t="n"/>
      <c r="E71" s="5" t="n"/>
      <c r="F71" s="9" t="n"/>
      <c r="G71" s="10" t="n"/>
      <c r="H71" s="5">
        <f>IF(OR(A71&lt;&gt;"", B71&lt;&gt;"", C71&lt;&gt;"", E71&lt;&gt;"", F71&lt;&gt;"", G71&lt;&gt;""), IF(AND(F71&gt;= startDate, F71&lt;=endDate), "ok", "bad"), "")</f>
        <v/>
      </c>
    </row>
    <row r="72">
      <c r="A72" s="5" t="n"/>
      <c r="B72" s="5" t="n"/>
      <c r="C72" s="5" t="n"/>
      <c r="D72" s="5" t="n"/>
      <c r="E72" s="5" t="n"/>
      <c r="F72" s="9" t="n"/>
      <c r="G72" s="10" t="n"/>
      <c r="H72" s="5">
        <f>IF(OR(A72&lt;&gt;"", B72&lt;&gt;"", C72&lt;&gt;"", E72&lt;&gt;"", F72&lt;&gt;"", G72&lt;&gt;""), IF(AND(F72&gt;= startDate, F72&lt;=endDate), "ok", "bad"), "")</f>
        <v/>
      </c>
    </row>
    <row r="73">
      <c r="A73" s="5" t="n"/>
      <c r="B73" s="5" t="n"/>
      <c r="C73" s="5" t="n"/>
      <c r="D73" s="5" t="n"/>
      <c r="E73" s="5" t="n"/>
      <c r="F73" s="9" t="n"/>
      <c r="G73" s="10" t="n"/>
      <c r="H73" s="5">
        <f>IF(OR(A73&lt;&gt;"", B73&lt;&gt;"", C73&lt;&gt;"", E73&lt;&gt;"", F73&lt;&gt;"", G73&lt;&gt;""), IF(AND(F73&gt;= startDate, F73&lt;=endDate), "ok", "bad"), "")</f>
        <v/>
      </c>
    </row>
    <row r="74">
      <c r="A74" s="5" t="n"/>
      <c r="B74" s="5" t="n"/>
      <c r="C74" s="5" t="n"/>
      <c r="D74" s="5" t="n"/>
      <c r="E74" s="5" t="n"/>
      <c r="F74" s="9" t="n"/>
      <c r="G74" s="10" t="n"/>
      <c r="H74" s="5">
        <f>IF(OR(A74&lt;&gt;"", B74&lt;&gt;"", C74&lt;&gt;"", E74&lt;&gt;"", F74&lt;&gt;"", G74&lt;&gt;""), IF(AND(F74&gt;= startDate, F74&lt;=endDate), "ok", "bad"), "")</f>
        <v/>
      </c>
    </row>
    <row r="75">
      <c r="A75" s="5" t="n"/>
      <c r="B75" s="5" t="n"/>
      <c r="C75" s="5" t="n"/>
      <c r="D75" s="5" t="n"/>
      <c r="E75" s="5" t="n"/>
      <c r="F75" s="9" t="n"/>
      <c r="G75" s="10" t="n"/>
      <c r="H75" s="5">
        <f>IF(OR(A75&lt;&gt;"", B75&lt;&gt;"", C75&lt;&gt;"", E75&lt;&gt;"", F75&lt;&gt;"", G75&lt;&gt;""), IF(AND(F75&gt;= startDate, F75&lt;=endDate), "ok", "bad"), "")</f>
        <v/>
      </c>
    </row>
    <row r="76">
      <c r="A76" s="5" t="n"/>
      <c r="B76" s="5" t="n"/>
      <c r="C76" s="5" t="n"/>
      <c r="D76" s="5" t="n"/>
      <c r="E76" s="5" t="n"/>
      <c r="F76" s="9" t="n"/>
      <c r="G76" s="10" t="n"/>
      <c r="H76" s="5">
        <f>IF(OR(A76&lt;&gt;"", B76&lt;&gt;"", C76&lt;&gt;"", E76&lt;&gt;"", F76&lt;&gt;"", G76&lt;&gt;""), IF(AND(F76&gt;= startDate, F76&lt;=endDate), "ok", "bad"), "")</f>
        <v/>
      </c>
    </row>
    <row r="77">
      <c r="A77" s="5" t="n"/>
      <c r="B77" s="5" t="n"/>
      <c r="C77" s="5" t="n"/>
      <c r="D77" s="5" t="n"/>
      <c r="E77" s="5" t="n"/>
      <c r="F77" s="9" t="n"/>
      <c r="G77" s="10" t="n"/>
      <c r="H77" s="5">
        <f>IF(OR(A77&lt;&gt;"", B77&lt;&gt;"", C77&lt;&gt;"", E77&lt;&gt;"", F77&lt;&gt;"", G77&lt;&gt;""), IF(AND(F77&gt;= startDate, F77&lt;=endDate), "ok", "bad"), "")</f>
        <v/>
      </c>
    </row>
    <row r="78">
      <c r="A78" s="5" t="n"/>
      <c r="B78" s="5" t="n"/>
      <c r="C78" s="5" t="n"/>
      <c r="D78" s="5" t="n"/>
      <c r="E78" s="5" t="n"/>
      <c r="F78" s="9" t="n"/>
      <c r="G78" s="10" t="n"/>
      <c r="H78" s="5">
        <f>IF(OR(A78&lt;&gt;"", B78&lt;&gt;"", C78&lt;&gt;"", E78&lt;&gt;"", F78&lt;&gt;"", G78&lt;&gt;""), IF(AND(F78&gt;= startDate, F78&lt;=endDate), "ok", "bad"), "")</f>
        <v/>
      </c>
    </row>
    <row r="79">
      <c r="A79" s="5" t="n"/>
      <c r="B79" s="5" t="n"/>
      <c r="C79" s="5" t="n"/>
      <c r="D79" s="5" t="n"/>
      <c r="E79" s="5" t="n"/>
      <c r="F79" s="9" t="n"/>
      <c r="G79" s="10" t="n"/>
      <c r="H79" s="5">
        <f>IF(OR(A79&lt;&gt;"", B79&lt;&gt;"", C79&lt;&gt;"", E79&lt;&gt;"", F79&lt;&gt;"", G79&lt;&gt;""), IF(AND(F79&gt;= startDate, F79&lt;=endDate), "ok", "bad"), "")</f>
        <v/>
      </c>
    </row>
    <row r="80">
      <c r="A80" s="5" t="n"/>
      <c r="B80" s="5" t="n"/>
      <c r="C80" s="5" t="n"/>
      <c r="D80" s="5" t="n"/>
      <c r="E80" s="5" t="n"/>
      <c r="F80" s="9" t="n"/>
      <c r="G80" s="10" t="n"/>
      <c r="H80" s="5">
        <f>IF(OR(A80&lt;&gt;"", B80&lt;&gt;"", C80&lt;&gt;"", E80&lt;&gt;"", F80&lt;&gt;"", G80&lt;&gt;""), IF(AND(F80&gt;= startDate, F80&lt;=endDate), "ok", "bad"), "")</f>
        <v/>
      </c>
    </row>
    <row r="81">
      <c r="A81" s="5" t="n"/>
      <c r="B81" s="5" t="n"/>
      <c r="C81" s="5" t="n"/>
      <c r="D81" s="5" t="n"/>
      <c r="E81" s="5" t="n"/>
      <c r="F81" s="9" t="n"/>
      <c r="G81" s="10" t="n"/>
      <c r="H81" s="5">
        <f>IF(OR(A81&lt;&gt;"", B81&lt;&gt;"", C81&lt;&gt;"", E81&lt;&gt;"", F81&lt;&gt;"", G81&lt;&gt;""), IF(AND(F81&gt;= startDate, F81&lt;=endDate), "ok", "bad"), "")</f>
        <v/>
      </c>
    </row>
    <row r="82">
      <c r="A82" s="5" t="n"/>
      <c r="B82" s="5" t="n"/>
      <c r="C82" s="5" t="n"/>
      <c r="D82" s="5" t="n"/>
      <c r="E82" s="5" t="n"/>
      <c r="F82" s="9" t="n"/>
      <c r="G82" s="10" t="n"/>
      <c r="H82" s="5">
        <f>IF(OR(A82&lt;&gt;"", B82&lt;&gt;"", C82&lt;&gt;"", E82&lt;&gt;"", F82&lt;&gt;"", G82&lt;&gt;""), IF(AND(F82&gt;= startDate, F82&lt;=endDate), "ok", "bad"), "")</f>
        <v/>
      </c>
    </row>
    <row r="83">
      <c r="A83" s="5" t="n"/>
      <c r="B83" s="5" t="n"/>
      <c r="C83" s="5" t="n"/>
      <c r="D83" s="5" t="n"/>
      <c r="E83" s="5" t="n"/>
      <c r="F83" s="9" t="n"/>
      <c r="G83" s="10" t="n"/>
      <c r="H83" s="5">
        <f>IF(OR(A83&lt;&gt;"", B83&lt;&gt;"", C83&lt;&gt;"", E83&lt;&gt;"", F83&lt;&gt;"", G83&lt;&gt;""), IF(AND(F83&gt;= startDate, F83&lt;=endDate), "ok", "bad"), "")</f>
        <v/>
      </c>
    </row>
    <row r="84">
      <c r="A84" s="5" t="n"/>
      <c r="B84" s="5" t="n"/>
      <c r="C84" s="5" t="n"/>
      <c r="D84" s="5" t="n"/>
      <c r="E84" s="5" t="n"/>
      <c r="F84" s="9" t="n"/>
      <c r="G84" s="10" t="n"/>
      <c r="H84" s="5">
        <f>IF(OR(A84&lt;&gt;"", B84&lt;&gt;"", C84&lt;&gt;"", E84&lt;&gt;"", F84&lt;&gt;"", G84&lt;&gt;""), IF(AND(F84&gt;= startDate, F84&lt;=endDate), "ok", "bad"), "")</f>
        <v/>
      </c>
    </row>
    <row r="85">
      <c r="A85" s="5" t="n"/>
      <c r="B85" s="5" t="n"/>
      <c r="C85" s="5" t="n"/>
      <c r="D85" s="5" t="n"/>
      <c r="E85" s="5" t="n"/>
      <c r="F85" s="9" t="n"/>
      <c r="G85" s="10" t="n"/>
      <c r="H85" s="5">
        <f>IF(OR(A85&lt;&gt;"", B85&lt;&gt;"", C85&lt;&gt;"", E85&lt;&gt;"", F85&lt;&gt;"", G85&lt;&gt;""), IF(AND(F85&gt;= startDate, F85&lt;=endDate), "ok", "bad"), "")</f>
        <v/>
      </c>
    </row>
    <row r="86">
      <c r="A86" s="5" t="n"/>
      <c r="B86" s="5" t="n"/>
      <c r="C86" s="5" t="n"/>
      <c r="D86" s="5" t="n"/>
      <c r="E86" s="5" t="n"/>
      <c r="F86" s="9" t="n"/>
      <c r="G86" s="10" t="n"/>
      <c r="H86" s="5">
        <f>IF(OR(A86&lt;&gt;"", B86&lt;&gt;"", C86&lt;&gt;"", E86&lt;&gt;"", F86&lt;&gt;"", G86&lt;&gt;""), IF(AND(F86&gt;= startDate, F86&lt;=endDate), "ok", "bad"), "")</f>
        <v/>
      </c>
    </row>
    <row r="87">
      <c r="A87" s="5" t="n"/>
      <c r="B87" s="5" t="n"/>
      <c r="C87" s="5" t="n"/>
      <c r="D87" s="5" t="n"/>
      <c r="E87" s="5" t="n"/>
      <c r="F87" s="9" t="n"/>
      <c r="G87" s="10" t="n"/>
      <c r="H87" s="5">
        <f>IF(OR(A87&lt;&gt;"", B87&lt;&gt;"", C87&lt;&gt;"", E87&lt;&gt;"", F87&lt;&gt;"", G87&lt;&gt;""), IF(AND(F87&gt;= startDate, F87&lt;=endDate), "ok", "bad"), "")</f>
        <v/>
      </c>
    </row>
    <row r="88">
      <c r="A88" s="5" t="n"/>
      <c r="B88" s="5" t="n"/>
      <c r="C88" s="5" t="n"/>
      <c r="D88" s="5" t="n"/>
      <c r="E88" s="5" t="n"/>
      <c r="F88" s="9" t="n"/>
      <c r="G88" s="10" t="n"/>
      <c r="H88" s="5">
        <f>IF(OR(A88&lt;&gt;"", B88&lt;&gt;"", C88&lt;&gt;"", E88&lt;&gt;"", F88&lt;&gt;"", G88&lt;&gt;""), IF(AND(F88&gt;= startDate, F88&lt;=endDate), "ok", "bad"), "")</f>
        <v/>
      </c>
    </row>
    <row r="89">
      <c r="A89" s="5" t="n"/>
      <c r="B89" s="5" t="n"/>
      <c r="C89" s="5" t="n"/>
      <c r="D89" s="5" t="n"/>
      <c r="E89" s="5" t="n"/>
      <c r="F89" s="9" t="n"/>
      <c r="G89" s="10" t="n"/>
      <c r="H89" s="5">
        <f>IF(OR(A89&lt;&gt;"", B89&lt;&gt;"", C89&lt;&gt;"", E89&lt;&gt;"", F89&lt;&gt;"", G89&lt;&gt;""), IF(AND(F89&gt;= startDate, F89&lt;=endDate), "ok", "bad"), "")</f>
        <v/>
      </c>
    </row>
    <row r="90">
      <c r="A90" s="5" t="n"/>
      <c r="B90" s="5" t="n"/>
      <c r="C90" s="5" t="n"/>
      <c r="D90" s="5" t="n"/>
      <c r="E90" s="5" t="n"/>
      <c r="F90" s="9" t="n"/>
      <c r="G90" s="10" t="n"/>
      <c r="H90" s="5">
        <f>IF(OR(A90&lt;&gt;"", B90&lt;&gt;"", C90&lt;&gt;"", E90&lt;&gt;"", F90&lt;&gt;"", G90&lt;&gt;""), IF(AND(F90&gt;= startDate, F90&lt;=endDate), "ok", "bad"), "")</f>
        <v/>
      </c>
    </row>
    <row r="91">
      <c r="A91" s="5" t="n"/>
      <c r="B91" s="5" t="n"/>
      <c r="C91" s="5" t="n"/>
      <c r="D91" s="5" t="n"/>
      <c r="E91" s="5" t="n"/>
      <c r="F91" s="9" t="n"/>
      <c r="G91" s="10" t="n"/>
      <c r="H91" s="5">
        <f>IF(OR(A91&lt;&gt;"", B91&lt;&gt;"", C91&lt;&gt;"", E91&lt;&gt;"", F91&lt;&gt;"", G91&lt;&gt;""), IF(AND(F91&gt;= startDate, F91&lt;=endDate), "ok", "bad"), "")</f>
        <v/>
      </c>
    </row>
  </sheetData>
  <mergeCells count="3">
    <mergeCell ref="B3:C3"/>
    <mergeCell ref="B4:C4"/>
    <mergeCell ref="B2:C2"/>
  </mergeCells>
  <conditionalFormatting sqref="B8:B11">
    <cfRule type="cellIs" priority="6" operator="equal" dxfId="0">
      <formula>"Red"</formula>
    </cfRule>
    <cfRule type="cellIs" priority="7" operator="equal" dxfId="2">
      <formula>"Yellow"</formula>
    </cfRule>
    <cfRule type="cellIs" priority="8" operator="equal" dxfId="1">
      <formula>"Green"</formula>
    </cfRule>
  </conditionalFormatting>
  <conditionalFormatting sqref="H16:H91">
    <cfRule type="cellIs" priority="4" operator="equal" dxfId="0">
      <formula>"bad"</formula>
    </cfRule>
  </conditionalFormatting>
  <dataValidations count="4">
    <dataValidation sqref="B8:B11" showDropDown="0" showInputMessage="1" showErrorMessage="1" allowBlank="0" type="list">
      <formula1>"Green, Yellow, Red"</formula1>
    </dataValidation>
    <dataValidation sqref="F8" showDropDown="0" showInputMessage="1" showErrorMessage="1" allowBlank="1" type="list">
      <formula1>ICAssignNum</formula1>
    </dataValidation>
    <dataValidation sqref="C16:C91" showDropDown="0" showInputMessage="1" showErrorMessage="1" allowBlank="1" type="list">
      <formula1>StatusOptions</formula1>
    </dataValidation>
    <dataValidation sqref="D16:D91" showDropDown="0" showInputMessage="1" showErrorMessage="1" allowBlank="1" type="list">
      <formula1>"TRUE, FALSE"</formula1>
    </dataValidation>
  </dataValidations>
  <hyperlinks>
    <hyperlink xmlns:r="http://schemas.openxmlformats.org/officeDocument/2006/relationships" ref="A16" r:id="rId1"/>
    <hyperlink xmlns:r="http://schemas.openxmlformats.org/officeDocument/2006/relationships" ref="E16" r:id="rId2"/>
    <hyperlink xmlns:r="http://schemas.openxmlformats.org/officeDocument/2006/relationships" ref="A17" r:id="rId3"/>
    <hyperlink xmlns:r="http://schemas.openxmlformats.org/officeDocument/2006/relationships" ref="E17" r:id="rId4"/>
    <hyperlink xmlns:r="http://schemas.openxmlformats.org/officeDocument/2006/relationships" ref="A18" r:id="rId5"/>
    <hyperlink xmlns:r="http://schemas.openxmlformats.org/officeDocument/2006/relationships" ref="E18" r:id="rId6"/>
    <hyperlink xmlns:r="http://schemas.openxmlformats.org/officeDocument/2006/relationships" ref="A19" r:id="rId7"/>
    <hyperlink xmlns:r="http://schemas.openxmlformats.org/officeDocument/2006/relationships" ref="E19" r:id="rId8"/>
    <hyperlink xmlns:r="http://schemas.openxmlformats.org/officeDocument/2006/relationships" ref="A20" r:id="rId9"/>
    <hyperlink xmlns:r="http://schemas.openxmlformats.org/officeDocument/2006/relationships" ref="E20" r:id="rId10"/>
    <hyperlink xmlns:r="http://schemas.openxmlformats.org/officeDocument/2006/relationships" ref="A21" r:id="rId11"/>
    <hyperlink xmlns:r="http://schemas.openxmlformats.org/officeDocument/2006/relationships" ref="E21" r:id="rId12"/>
    <hyperlink xmlns:r="http://schemas.openxmlformats.org/officeDocument/2006/relationships" ref="A22" r:id="rId13"/>
    <hyperlink xmlns:r="http://schemas.openxmlformats.org/officeDocument/2006/relationships" ref="E22" r:id="rId14"/>
    <hyperlink xmlns:r="http://schemas.openxmlformats.org/officeDocument/2006/relationships" ref="A23" r:id="rId15"/>
    <hyperlink xmlns:r="http://schemas.openxmlformats.org/officeDocument/2006/relationships" ref="E23" r:id="rId16"/>
  </hyperlinks>
  <pageMargins left="0.25" right="0.25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K17"/>
  <sheetViews>
    <sheetView workbookViewId="0">
      <selection activeCell="C13" sqref="C13"/>
    </sheetView>
  </sheetViews>
  <sheetFormatPr baseColWidth="10" defaultColWidth="8.83203125" defaultRowHeight="15"/>
  <cols>
    <col width="9.6640625" bestFit="1" customWidth="1" min="4" max="4"/>
  </cols>
  <sheetData>
    <row r="1">
      <c r="C1" t="inlineStr">
        <is>
          <t>Start Date</t>
        </is>
      </c>
      <c r="D1" s="1" t="n">
        <v>46033</v>
      </c>
      <c r="E1" s="8">
        <f>INDEX(DaysOfWeek,WEEKDAY(D1))</f>
        <v/>
      </c>
    </row>
    <row r="2">
      <c r="C2" t="inlineStr">
        <is>
          <t>Last Date</t>
        </is>
      </c>
      <c r="D2" s="1" t="n">
        <v>46143</v>
      </c>
      <c r="E2" s="8">
        <f>INDEX(DaysOfWeek,WEEKDAY(D2))</f>
        <v/>
      </c>
    </row>
    <row r="3">
      <c r="C3" t="inlineStr">
        <is>
          <t>Act Start</t>
        </is>
      </c>
      <c r="D3" s="8">
        <f>D1</f>
        <v/>
      </c>
      <c r="E3" s="8">
        <f>INDEX(DaysOfWeek,WEEKDAY(D3))</f>
        <v/>
      </c>
    </row>
    <row r="4">
      <c r="C4" t="inlineStr">
        <is>
          <t>Week</t>
        </is>
      </c>
      <c r="D4" t="inlineStr">
        <is>
          <t>Assignment</t>
        </is>
      </c>
      <c r="E4" t="inlineStr">
        <is>
          <t>Start (Su)</t>
        </is>
      </c>
      <c r="F4" t="inlineStr">
        <is>
          <t>End (Sa)</t>
        </is>
      </c>
      <c r="J4" t="inlineStr">
        <is>
          <t>Day of Week</t>
        </is>
      </c>
      <c r="K4" t="inlineStr">
        <is>
          <t>Offset</t>
        </is>
      </c>
    </row>
    <row r="5">
      <c r="C5" s="13" t="inlineStr">
        <is>
          <t>1-2</t>
        </is>
      </c>
      <c r="D5" t="inlineStr">
        <is>
          <t>IC1</t>
        </is>
      </c>
      <c r="E5" s="8">
        <f>D3</f>
        <v/>
      </c>
      <c r="F5" s="8">
        <f>E5+13</f>
        <v/>
      </c>
      <c r="G5" s="8">
        <f>INDEX(DaysOfWeek,WEEKDAY(F5))</f>
        <v/>
      </c>
      <c r="J5" t="inlineStr">
        <is>
          <t>Su</t>
        </is>
      </c>
      <c r="K5" t="n">
        <v>1</v>
      </c>
    </row>
    <row r="6">
      <c r="C6" s="13" t="inlineStr">
        <is>
          <t>3-4</t>
        </is>
      </c>
      <c r="D6" t="inlineStr">
        <is>
          <t>IC2</t>
        </is>
      </c>
      <c r="E6" s="8">
        <f>E5+14</f>
        <v/>
      </c>
      <c r="F6" s="8">
        <f>E6+13</f>
        <v/>
      </c>
      <c r="G6" s="8">
        <f>INDEX(DaysOfWeek,WEEKDAY(F6))</f>
        <v/>
      </c>
      <c r="J6" t="inlineStr">
        <is>
          <t>M</t>
        </is>
      </c>
      <c r="K6" t="n">
        <v>0</v>
      </c>
    </row>
    <row r="7">
      <c r="C7" s="13" t="inlineStr">
        <is>
          <t>5-6</t>
        </is>
      </c>
      <c r="D7" t="inlineStr">
        <is>
          <t>IC3</t>
        </is>
      </c>
      <c r="E7" s="8">
        <f>E6+14</f>
        <v/>
      </c>
      <c r="F7" s="8">
        <f>E7+13</f>
        <v/>
      </c>
      <c r="G7" s="8">
        <f>INDEX(DaysOfWeek,WEEKDAY(F7))</f>
        <v/>
      </c>
      <c r="J7" t="inlineStr">
        <is>
          <t>T</t>
        </is>
      </c>
      <c r="K7" t="n">
        <v>-1</v>
      </c>
    </row>
    <row r="8" ht="15" customHeight="1" thickBot="1">
      <c r="A8" t="inlineStr">
        <is>
          <t>wk 9 (Mar6-13)</t>
        </is>
      </c>
      <c r="C8" s="13" t="inlineStr">
        <is>
          <t>7-8</t>
        </is>
      </c>
      <c r="D8" t="inlineStr">
        <is>
          <t>IC4</t>
        </is>
      </c>
      <c r="E8" s="8">
        <f>E7+14</f>
        <v/>
      </c>
      <c r="F8" s="8">
        <f>E8+13</f>
        <v/>
      </c>
      <c r="G8" s="8">
        <f>INDEX(DaysOfWeek,WEEKDAY(F8))</f>
        <v/>
      </c>
      <c r="J8" t="inlineStr">
        <is>
          <t>W</t>
        </is>
      </c>
      <c r="K8" t="n">
        <v>-2</v>
      </c>
    </row>
    <row r="9" ht="15" customHeight="1" thickBot="1">
      <c r="A9" t="inlineStr">
        <is>
          <t>Spring break</t>
        </is>
      </c>
      <c r="C9" s="13" t="inlineStr">
        <is>
          <t>10-11</t>
        </is>
      </c>
      <c r="D9" t="inlineStr">
        <is>
          <t>IC5</t>
        </is>
      </c>
      <c r="E9" s="14">
        <f>E8+21</f>
        <v/>
      </c>
      <c r="F9" s="8">
        <f>E9+13</f>
        <v/>
      </c>
      <c r="G9" s="8">
        <f>INDEX(DaysOfWeek,WEEKDAY(F9))</f>
        <v/>
      </c>
      <c r="J9" t="inlineStr">
        <is>
          <t>Th</t>
        </is>
      </c>
      <c r="K9" t="n">
        <v>-3</v>
      </c>
    </row>
    <row r="10">
      <c r="C10" s="13" t="inlineStr">
        <is>
          <t>12-13</t>
        </is>
      </c>
      <c r="D10" t="inlineStr">
        <is>
          <t>IC6</t>
        </is>
      </c>
      <c r="E10" s="8">
        <f>E9+14</f>
        <v/>
      </c>
      <c r="F10" s="8">
        <f>E10+13</f>
        <v/>
      </c>
      <c r="G10" s="8">
        <f>INDEX(DaysOfWeek,WEEKDAY(F10))</f>
        <v/>
      </c>
      <c r="J10" t="inlineStr">
        <is>
          <t>F</t>
        </is>
      </c>
      <c r="K10" t="n">
        <v>-4</v>
      </c>
    </row>
    <row r="11">
      <c r="C11" s="13" t="inlineStr">
        <is>
          <t>12-13</t>
        </is>
      </c>
      <c r="D11" t="inlineStr">
        <is>
          <t>IC7</t>
        </is>
      </c>
      <c r="E11" s="8">
        <f>E10+14</f>
        <v/>
      </c>
      <c r="F11" s="8">
        <f>E11+13</f>
        <v/>
      </c>
      <c r="G11" s="8">
        <f>INDEX(DaysOfWeek,WEEKDAY(F11))</f>
        <v/>
      </c>
      <c r="J11" t="inlineStr">
        <is>
          <t>Sa</t>
        </is>
      </c>
      <c r="K11" t="n">
        <v>-5</v>
      </c>
    </row>
    <row r="12">
      <c r="C12" s="13" t="n"/>
      <c r="D12" t="inlineStr">
        <is>
          <t>Technically can't use Mar13 - it is part of spring break</t>
        </is>
      </c>
      <c r="E12" s="8" t="n"/>
      <c r="F12" s="8" t="n"/>
      <c r="G12" s="8" t="n"/>
    </row>
    <row r="13">
      <c r="C13" s="13" t="n"/>
      <c r="D13" t="inlineStr">
        <is>
          <t>Adjust any appeals</t>
        </is>
      </c>
      <c r="E13" s="8" t="n"/>
      <c r="F13" s="8" t="n"/>
      <c r="G13" s="8" t="n"/>
    </row>
    <row r="14">
      <c r="C14" s="13" t="n"/>
      <c r="E14" s="8" t="n"/>
      <c r="F14" s="8" t="n"/>
      <c r="G14" s="8" t="n"/>
    </row>
    <row r="15">
      <c r="C15" s="13" t="n"/>
      <c r="E15" s="8" t="n"/>
      <c r="F15" s="8" t="n"/>
      <c r="G15" s="8" t="n"/>
      <c r="J15" t="inlineStr">
        <is>
          <t>Status Options</t>
        </is>
      </c>
    </row>
    <row r="16">
      <c r="C16" s="13" t="n"/>
      <c r="J16" t="inlineStr">
        <is>
          <t>Complete</t>
        </is>
      </c>
    </row>
    <row r="17">
      <c r="J17" t="inlineStr">
        <is>
          <t>In-process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2026-04-26T05:41:33Z</dcterms:modified>
  <cp:lastModifiedBy>Ethan Freeman (Student)</cp:lastModifiedBy>
</cp:coreProperties>
</file>